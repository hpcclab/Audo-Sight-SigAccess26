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>
    <definedName name="_xlchart.v1.0" hidden="1">Sheet1!$A$4</definedName>
    <definedName name="_xlchart.v1.1" hidden="1">Sheet1!$A$5:$A$19</definedName>
    <definedName name="_xlchart.v1.2" hidden="1">Sheet1!$B$4</definedName>
    <definedName name="_xlchart.v1.3" hidden="1">Sheet1!$B$5:$B$19</definedName>
    <definedName name="_xlchart.v1.4" hidden="1">Sheet1!$C$4</definedName>
    <definedName name="_xlchart.v1.5" hidden="1">Sheet1!$C$5:$C$19</definedName>
    <definedName name="_xlchart.v1.6" hidden="1">Sheet1!$D$4</definedName>
    <definedName name="_xlchart.v1.7" hidden="1">Sheet1!$D$5:$D$19</definedName>
    <definedName name="_xlchart.v1.8" hidden="1">Sheet1!$E$4</definedName>
    <definedName name="_xlchart.v1.9" hidden="1">Sheet1!$E$5:$E$19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6">
    <xf numFmtId="0" fontId="0" fillId="0" borderId="0" pivotButton="0" quotePrefix="0" xfId="0"/>
    <xf numFmtId="0" fontId="0" fillId="4" borderId="0" pivotButton="0" quotePrefix="0" xfId="0"/>
    <xf numFmtId="0" fontId="1" fillId="2" borderId="0" pivotButton="0" quotePrefix="0" xfId="1"/>
    <xf numFmtId="0" fontId="2" fillId="3" borderId="0" pivotButton="0" quotePrefix="0" xfId="2"/>
    <xf numFmtId="9" fontId="0" fillId="0" borderId="0" pivotButton="0" quotePrefix="0" xfId="0"/>
    <xf numFmtId="10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Audo-Sight </a:t>
            </a:r>
            <a:r>
              <a:rPr lang="en-US" baseline="0"/>
              <a:t>Mid-Test Survey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Sheet1!$Q$4</f>
              <strCache>
                <ptCount val="1"/>
                <pt idx="0">
                  <v>3 (Neutral - Left)</v>
                </pt>
              </strCache>
            </strRef>
          </tx>
          <spPr>
            <a:solidFill>
              <a:schemeClr val="bg1">
                <a:lumMod val="75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Sheet1!$P$5:$P$9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Sheet1!$Q$5:$Q$9</f>
              <numCache>
                <formatCode>0%</formatCode>
                <ptCount val="5"/>
                <pt idx="0">
                  <v>-0.13</v>
                </pt>
                <pt idx="1">
                  <v>-0.06</v>
                </pt>
                <pt idx="2">
                  <v>-0.16</v>
                </pt>
                <pt idx="3">
                  <v>-0.2</v>
                </pt>
                <pt idx="4">
                  <v>-0.13</v>
                </pt>
              </numCache>
            </numRef>
          </val>
        </ser>
        <ser>
          <idx val="1"/>
          <order val="1"/>
          <tx>
            <strRef>
              <f>Sheet1!$R$4</f>
              <strCache>
                <ptCount val="1"/>
                <pt idx="0">
                  <v>2 (Disagree)</v>
                </pt>
              </strCache>
            </strRef>
          </tx>
          <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Sheet1!$P$5:$P$9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Sheet1!$R$5:$R$9</f>
              <numCache>
                <formatCode>0%</formatCode>
                <ptCount val="5"/>
                <pt idx="0">
                  <v>-0.26</v>
                </pt>
                <pt idx="1">
                  <v>-0.66</v>
                </pt>
                <pt idx="2">
                  <v>0</v>
                </pt>
                <pt idx="3">
                  <v>0</v>
                </pt>
                <pt idx="4">
                  <v>-0.26</v>
                </pt>
              </numCache>
            </numRef>
          </val>
        </ser>
        <ser>
          <idx val="2"/>
          <order val="2"/>
          <tx>
            <strRef>
              <f>Sheet1!$S$4</f>
              <strCache>
                <ptCount val="1"/>
                <pt idx="0">
                  <v>1 (Strongly Disagree)</v>
                </pt>
              </strCache>
            </strRef>
          </tx>
          <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Sheet1!$P$5:$P$9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Sheet1!$S$5:$S$9</f>
              <numCache>
                <formatCode>0%</formatCode>
                <ptCount val="5"/>
                <pt idx="0">
                  <v>0</v>
                </pt>
                <pt idx="1">
                  <v>-0.2</v>
                </pt>
                <pt idx="2">
                  <v>0</v>
                </pt>
                <pt idx="3">
                  <v>0</v>
                </pt>
                <pt idx="4">
                  <v>-0.2</v>
                </pt>
              </numCache>
            </numRef>
          </val>
        </ser>
        <ser>
          <idx val="3"/>
          <order val="3"/>
          <tx>
            <strRef>
              <f>Sheet1!$T$4</f>
              <strCache>
                <ptCount val="1"/>
                <pt idx="0">
                  <v>3 (Neutral)</v>
                </pt>
              </strCache>
            </strRef>
          </tx>
          <spPr>
            <a:solidFill>
              <a:schemeClr val="bg1">
                <a:lumMod val="75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Sheet1!$P$5:$P$9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Sheet1!$T$5:$T$9</f>
              <numCache>
                <formatCode>0%</formatCode>
                <ptCount val="5"/>
                <pt idx="0">
                  <v>0.13</v>
                </pt>
                <pt idx="1">
                  <v>0.06</v>
                </pt>
                <pt idx="2">
                  <v>0.16</v>
                </pt>
                <pt idx="3">
                  <v>0.2</v>
                </pt>
                <pt idx="4">
                  <v>0.13</v>
                </pt>
              </numCache>
            </numRef>
          </val>
        </ser>
        <ser>
          <idx val="4"/>
          <order val="4"/>
          <tx>
            <strRef>
              <f>Sheet1!$U$4</f>
              <strCache>
                <ptCount val="1"/>
                <pt idx="0">
                  <v>4 (Agree)</v>
                </pt>
              </strCache>
            </strRef>
          </tx>
          <spPr>
            <a:solidFill>
              <a:schemeClr val="tx2">
                <a:lumMod val="50000"/>
                <a:lumOff val="50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Sheet1!$P$5:$P$9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Sheet1!$U$5:$U$9</f>
              <numCache>
                <formatCode>0%</formatCode>
                <ptCount val="5"/>
                <pt idx="0">
                  <v>0.2</v>
                </pt>
                <pt idx="1">
                  <v>0.06</v>
                </pt>
                <pt idx="2">
                  <v>0.33</v>
                </pt>
                <pt idx="3">
                  <v>0.33</v>
                </pt>
                <pt idx="4">
                  <v>0.26</v>
                </pt>
              </numCache>
            </numRef>
          </val>
        </ser>
        <ser>
          <idx val="5"/>
          <order val="5"/>
          <tx>
            <strRef>
              <f>Sheet1!$V$4</f>
              <strCache>
                <ptCount val="1"/>
                <pt idx="0">
                  <v>5 (Strongly Agree)</v>
                </pt>
              </strCache>
            </strRef>
          </tx>
          <spPr>
            <a:solidFill>
              <a:schemeClr val="tx2">
                <a:lumMod val="75000"/>
                <a:lumOff val="25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Sheet1!$P$5:$P$9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Sheet1!$V$5:$V$9</f>
              <numCache>
                <formatCode>0%</formatCode>
                <ptCount val="5"/>
                <pt idx="0">
                  <v>0.26</v>
                </pt>
                <pt idx="1">
                  <v>0</v>
                </pt>
                <pt idx="2">
                  <v>0.33</v>
                </pt>
                <pt idx="3">
                  <v>0.26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740993792"/>
        <axId val="1458424144"/>
      </barChart>
      <catAx>
        <axId val="174099379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1" vertOverflow="ellipsis" wrap="square" anchor="ctr" anchorCtr="0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58424144"/>
        <crosses val="autoZero"/>
        <auto val="1"/>
        <lblAlgn val="ctr"/>
        <lblOffset val="100"/>
        <noMultiLvlLbl val="0"/>
      </catAx>
      <valAx>
        <axId val="14584241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Strongly Agree&quot;;&quot;Strongly Disagree&quot;;&quot;Neutral&quot;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0993792"/>
        <crosses val="autoZero"/>
        <crossBetween val="between"/>
        <majorUnit val="1"/>
      </valAx>
    </plotArea>
    <legend>
      <legendPos val="r"/>
      <legendEntry>
        <idx val="5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GPT-5 </a:t>
            </a:r>
            <a:r>
              <a:rPr lang="en-US" baseline="0"/>
              <a:t>Mid-Test Survey</a:t>
            </a:r>
            <a:endParaRPr lang="en-US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percentStacked"/>
        <varyColors val="0"/>
        <ser>
          <idx val="0"/>
          <order val="0"/>
          <tx>
            <strRef>
              <f>Sheet1!$Q$12</f>
              <strCache>
                <ptCount val="1"/>
                <pt idx="0">
                  <v>3 (Neutral - Left)</v>
                </pt>
              </strCache>
            </strRef>
          </tx>
          <spPr>
            <a:solidFill>
              <a:schemeClr val="bg1">
                <a:lumMod val="75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Sheet1!$P$13:$P$17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Sheet1!$Q$13:$Q$17</f>
              <numCache>
                <formatCode>0.00%</formatCode>
                <ptCount val="5"/>
                <pt idx="0">
                  <v>-0.077</v>
                </pt>
                <pt idx="1">
                  <v>-0.115</v>
                </pt>
                <pt idx="2">
                  <v>-0.038</v>
                </pt>
                <pt idx="3">
                  <v>-0.077</v>
                </pt>
                <pt idx="4">
                  <v>0</v>
                </pt>
              </numCache>
            </numRef>
          </val>
        </ser>
        <ser>
          <idx val="1"/>
          <order val="1"/>
          <tx>
            <strRef>
              <f>Sheet1!$R$12</f>
              <strCache>
                <ptCount val="1"/>
                <pt idx="0">
                  <v>2 (Disagree)</v>
                </pt>
              </strCache>
            </strRef>
          </tx>
          <spPr>
            <a:solidFill>
              <a:schemeClr val="accent2">
                <a:lumMod val="60000"/>
                <a:lumOff val="40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Sheet1!$P$13:$P$17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Sheet1!$R$13:$R$17</f>
              <numCache>
                <formatCode>0.00%</formatCode>
                <ptCount val="5"/>
                <pt idx="0">
                  <v>-0.308</v>
                </pt>
                <pt idx="1">
                  <v>-0.462</v>
                </pt>
                <pt idx="2">
                  <v>0</v>
                </pt>
                <pt idx="3">
                  <v>0</v>
                </pt>
                <pt idx="4">
                  <v>-0.462</v>
                </pt>
              </numCache>
            </numRef>
          </val>
        </ser>
        <ser>
          <idx val="2"/>
          <order val="2"/>
          <tx>
            <strRef>
              <f>Sheet1!$S$12</f>
              <strCache>
                <ptCount val="1"/>
                <pt idx="0">
                  <v>1 (Strongly Disagree)</v>
                </pt>
              </strCache>
            </strRef>
          </tx>
          <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Sheet1!$P$13:$P$17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Sheet1!$S$13:$S$17</f>
              <numCache>
                <formatCode>0.00%</formatCode>
                <ptCount val="5"/>
                <pt idx="0">
                  <v>0</v>
                </pt>
                <pt idx="1">
                  <v>-0.154</v>
                </pt>
                <pt idx="2">
                  <v>0</v>
                </pt>
                <pt idx="3">
                  <v>0</v>
                </pt>
                <pt idx="4">
                  <v>-0.077</v>
                </pt>
              </numCache>
            </numRef>
          </val>
        </ser>
        <ser>
          <idx val="3"/>
          <order val="3"/>
          <tx>
            <strRef>
              <f>Sheet1!$T$12</f>
              <strCache>
                <ptCount val="1"/>
                <pt idx="0">
                  <v>3 (Neutral)</v>
                </pt>
              </strCache>
            </strRef>
          </tx>
          <spPr>
            <a:solidFill>
              <a:schemeClr val="bg1">
                <a:lumMod val="75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Sheet1!$P$13:$P$17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Sheet1!$T$13:$T$17</f>
              <numCache>
                <formatCode>0.00%</formatCode>
                <ptCount val="5"/>
                <pt idx="0">
                  <v>0.077</v>
                </pt>
                <pt idx="1">
                  <v>0.115</v>
                </pt>
                <pt idx="2">
                  <v>0.038</v>
                </pt>
                <pt idx="3">
                  <v>0.077</v>
                </pt>
                <pt idx="4">
                  <v>0</v>
                </pt>
              </numCache>
            </numRef>
          </val>
        </ser>
        <ser>
          <idx val="4"/>
          <order val="4"/>
          <tx>
            <strRef>
              <f>Sheet1!$U$12</f>
              <strCache>
                <ptCount val="1"/>
                <pt idx="0">
                  <v>4 (Agree)</v>
                </pt>
              </strCache>
            </strRef>
          </tx>
          <spPr>
            <a:solidFill>
              <a:schemeClr val="tx2">
                <a:lumMod val="50000"/>
                <a:lumOff val="50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Sheet1!$P$13:$P$17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Sheet1!$U$13:$U$17</f>
              <numCache>
                <formatCode>0.00%</formatCode>
                <ptCount val="5"/>
                <pt idx="0">
                  <v>0.462</v>
                </pt>
                <pt idx="1">
                  <v>0.154</v>
                </pt>
                <pt idx="2">
                  <v>0.538</v>
                </pt>
                <pt idx="3">
                  <v>0.538</v>
                </pt>
                <pt idx="4">
                  <v>0.308</v>
                </pt>
              </numCache>
            </numRef>
          </val>
        </ser>
        <ser>
          <idx val="5"/>
          <order val="5"/>
          <tx>
            <strRef>
              <f>Sheet1!$V$12</f>
              <strCache>
                <ptCount val="1"/>
                <pt idx="0">
                  <v>5 (Strongly Agree)</v>
                </pt>
              </strCache>
            </strRef>
          </tx>
          <spPr>
            <a:solidFill>
              <a:schemeClr val="accent4">
                <a:shade val="50000"/>
              </a:schemeClr>
            </a:solidFill>
            <a:ln>
              <a:noFill/>
              <a:prstDash val="solid"/>
            </a:ln>
          </spPr>
          <invertIfNegative val="0"/>
          <cat>
            <strRef>
              <f>Sheet1!$P$13:$P$17</f>
              <strCache>
                <ptCount val="5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  <pt idx="4">
                  <v>Q5</v>
                </pt>
              </strCache>
            </strRef>
          </cat>
          <val>
            <numRef>
              <f>Sheet1!$V$13:$V$17</f>
              <numCache>
                <formatCode>0.00%</formatCode>
                <ptCount val="5"/>
                <pt idx="0">
                  <v>0.077</v>
                </pt>
                <pt idx="1">
                  <v>0</v>
                </pt>
                <pt idx="2">
                  <v>0.385</v>
                </pt>
                <pt idx="3">
                  <v>0.308</v>
                </pt>
                <pt idx="4">
                  <v>0.154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1740993792"/>
        <axId val="1458424144"/>
      </barChart>
      <catAx>
        <axId val="174099379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1" vertOverflow="ellipsis" wrap="square" anchor="ctr" anchorCtr="0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58424144"/>
        <crosses val="autoZero"/>
        <auto val="1"/>
        <lblAlgn val="ctr"/>
        <lblOffset val="100"/>
        <noMultiLvlLbl val="0"/>
      </catAx>
      <valAx>
        <axId val="145842414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Strongly Agree&quot;;&quot;Strongly Disagree&quot;;&quot;Neutral&quot;" sourceLinked="0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40993792"/>
        <crosses val="autoZero"/>
        <crossBetween val="between"/>
        <majorUnit val="1"/>
      </valAx>
    </plotArea>
    <legend>
      <legendPos val="r"/>
      <legendEntry>
        <idx val="5"/>
        <delete val="1"/>
      </legendEntry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10</col>
      <colOff>128361</colOff>
      <row>28</row>
      <rowOff>67128</rowOff>
    </from>
    <to>
      <col>17</col>
      <colOff>431347</colOff>
      <row>43</row>
      <rowOff>48078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20</col>
      <colOff>145142</colOff>
      <row>28</row>
      <rowOff>72573</rowOff>
    </from>
    <to>
      <col>27</col>
      <colOff>448128</colOff>
      <row>43</row>
      <rowOff>53523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8"/>
  <sheetViews>
    <sheetView tabSelected="1" topLeftCell="E1" zoomScale="70" zoomScaleNormal="70" workbookViewId="0">
      <selection activeCell="Q23" sqref="Q23"/>
    </sheetView>
  </sheetViews>
  <sheetFormatPr baseColWidth="8" defaultRowHeight="14.5"/>
  <sheetData>
    <row r="1"/>
    <row r="2"/>
    <row r="3">
      <c r="H3" t="inlineStr">
        <is>
          <t>Ours</t>
        </is>
      </c>
    </row>
    <row r="4">
      <c r="A4" t="inlineStr">
        <is>
          <t>Ours Quick</t>
        </is>
      </c>
      <c r="B4" t="inlineStr">
        <is>
          <t>Ours 2simple</t>
        </is>
      </c>
      <c r="C4" t="inlineStr">
        <is>
          <t>Ours clear</t>
        </is>
      </c>
      <c r="D4" t="inlineStr">
        <is>
          <t>Ours helpful</t>
        </is>
      </c>
      <c r="E4" t="inlineStr">
        <is>
          <t>Ours 2slow</t>
        </is>
      </c>
      <c r="H4" t="inlineStr">
        <is>
          <t>Category</t>
        </is>
      </c>
      <c r="I4" t="inlineStr">
        <is>
          <t>3 (Neutral - Left)</t>
        </is>
      </c>
      <c r="J4" t="inlineStr">
        <is>
          <t>2 (Disagree)</t>
        </is>
      </c>
      <c r="K4" t="inlineStr">
        <is>
          <t>1 (Strongly Disagree)</t>
        </is>
      </c>
      <c r="L4" t="inlineStr">
        <is>
          <t>3 (Neutral - Right)</t>
        </is>
      </c>
      <c r="M4" t="inlineStr">
        <is>
          <t>4 (Agree)</t>
        </is>
      </c>
      <c r="N4" t="inlineStr">
        <is>
          <t>5 (Strongly Agree)</t>
        </is>
      </c>
      <c r="P4" t="inlineStr">
        <is>
          <t>Category</t>
        </is>
      </c>
      <c r="Q4" t="inlineStr">
        <is>
          <t>3 (Neutral - Left)</t>
        </is>
      </c>
      <c r="R4" t="inlineStr">
        <is>
          <t>2 (Disagree)</t>
        </is>
      </c>
      <c r="S4" t="inlineStr">
        <is>
          <t>1 (Strongly Disagree)</t>
        </is>
      </c>
      <c r="T4" t="inlineStr">
        <is>
          <t>3 (Neutral)</t>
        </is>
      </c>
      <c r="U4" t="inlineStr">
        <is>
          <t>4 (Agree)</t>
        </is>
      </c>
      <c r="V4" t="inlineStr">
        <is>
          <t>5 (Strongly Agree)</t>
        </is>
      </c>
    </row>
    <row r="5">
      <c r="A5" t="n">
        <v>4</v>
      </c>
      <c r="B5" t="n">
        <v>3</v>
      </c>
      <c r="C5" t="n">
        <v>4</v>
      </c>
      <c r="D5" t="n">
        <v>3</v>
      </c>
      <c r="E5" t="n">
        <v>2</v>
      </c>
      <c r="H5" t="inlineStr">
        <is>
          <t>Ours Quick</t>
        </is>
      </c>
      <c r="I5" s="4" t="n">
        <v>-0.14</v>
      </c>
      <c r="J5" s="4" t="n">
        <v>-0.09</v>
      </c>
      <c r="K5" s="4" t="n">
        <v>-0.34</v>
      </c>
      <c r="L5" s="4" t="n">
        <v>0.19</v>
      </c>
      <c r="M5" s="4" t="n">
        <v>0.24</v>
      </c>
      <c r="N5" s="4" t="n">
        <v>0</v>
      </c>
      <c r="P5" t="inlineStr">
        <is>
          <t>Q1</t>
        </is>
      </c>
      <c r="Q5" s="4" t="n">
        <v>-0.13</v>
      </c>
      <c r="R5" s="4" t="n">
        <v>-0.26</v>
      </c>
      <c r="S5" s="4" t="n">
        <v>0</v>
      </c>
      <c r="T5" s="4" t="n">
        <v>0.13</v>
      </c>
      <c r="U5" s="4" t="n">
        <v>0.2</v>
      </c>
      <c r="V5" s="4" t="n">
        <v>0.26</v>
      </c>
    </row>
    <row r="6">
      <c r="A6" t="n">
        <v>2</v>
      </c>
      <c r="B6" t="n">
        <v>2</v>
      </c>
      <c r="C6" t="n">
        <v>4</v>
      </c>
      <c r="D6" t="n">
        <v>5</v>
      </c>
      <c r="E6" t="n">
        <v>5</v>
      </c>
      <c r="H6" t="inlineStr">
        <is>
          <t>Ours 2simple</t>
        </is>
      </c>
      <c r="I6" s="4" t="n">
        <v>-0.16</v>
      </c>
      <c r="J6" s="4" t="n">
        <v>-0.18</v>
      </c>
      <c r="K6" s="4" t="n">
        <v>-0.18</v>
      </c>
      <c r="L6" s="4" t="n">
        <v>0.16</v>
      </c>
      <c r="M6" s="4" t="n">
        <v>0.15</v>
      </c>
      <c r="N6" s="4" t="n">
        <v>0.15</v>
      </c>
      <c r="P6" t="inlineStr">
        <is>
          <t>Q2</t>
        </is>
      </c>
      <c r="Q6" s="4" t="n">
        <v>-0.06</v>
      </c>
      <c r="R6" s="4" t="n">
        <v>-0.66</v>
      </c>
      <c r="S6" s="4" t="n">
        <v>-0.2</v>
      </c>
      <c r="T6" s="4" t="n">
        <v>0.06</v>
      </c>
      <c r="U6" s="4" t="n">
        <v>0.06</v>
      </c>
      <c r="V6" s="4" t="n">
        <v>0</v>
      </c>
      <c r="AE6" t="inlineStr">
        <is>
          <t>Quick</t>
        </is>
      </c>
      <c r="AF6" t="inlineStr">
        <is>
          <t>2simple</t>
        </is>
      </c>
      <c r="AG6" t="inlineStr">
        <is>
          <t>clear</t>
        </is>
      </c>
      <c r="AH6" t="inlineStr">
        <is>
          <t>helpful</t>
        </is>
      </c>
      <c r="AI6" t="inlineStr">
        <is>
          <t>2slow</t>
        </is>
      </c>
    </row>
    <row r="7">
      <c r="A7" t="n">
        <v>4</v>
      </c>
      <c r="B7" t="n">
        <v>1</v>
      </c>
      <c r="C7" t="n">
        <v>4</v>
      </c>
      <c r="D7" t="n">
        <v>5</v>
      </c>
      <c r="E7" t="n">
        <v>1</v>
      </c>
      <c r="H7" t="inlineStr">
        <is>
          <t>Ours clear</t>
        </is>
      </c>
      <c r="I7" s="4" t="n">
        <v>-0.16</v>
      </c>
      <c r="J7" s="4" t="n">
        <v>-0.18</v>
      </c>
      <c r="K7" s="4" t="n">
        <v>-0.18</v>
      </c>
      <c r="L7" s="4" t="n">
        <v>0.16</v>
      </c>
      <c r="M7" s="4" t="n">
        <v>0.15</v>
      </c>
      <c r="N7" s="4" t="n">
        <v>0.15</v>
      </c>
      <c r="P7" t="inlineStr">
        <is>
          <t>Q3</t>
        </is>
      </c>
      <c r="Q7" s="4" t="n">
        <v>-0.16</v>
      </c>
      <c r="R7" s="4" t="n">
        <v>0</v>
      </c>
      <c r="S7" s="4" t="n">
        <v>0</v>
      </c>
      <c r="T7" s="4" t="n">
        <v>0.16</v>
      </c>
      <c r="U7" s="4" t="n">
        <v>0.33</v>
      </c>
      <c r="V7" s="4" t="n">
        <v>0.33</v>
      </c>
      <c r="AE7" t="n">
        <v>3</v>
      </c>
      <c r="AF7" t="n">
        <v>1</v>
      </c>
      <c r="AG7" t="n">
        <v>5</v>
      </c>
      <c r="AH7" t="n">
        <v>5</v>
      </c>
      <c r="AI7" t="n">
        <v>4</v>
      </c>
    </row>
    <row r="8">
      <c r="A8" t="n">
        <v>2</v>
      </c>
      <c r="B8" t="n">
        <v>2</v>
      </c>
      <c r="C8" t="n">
        <v>3</v>
      </c>
      <c r="D8" t="n">
        <v>4</v>
      </c>
      <c r="E8" t="n">
        <v>4</v>
      </c>
      <c r="H8" t="inlineStr">
        <is>
          <t>Ours helpful</t>
        </is>
      </c>
      <c r="I8" s="4" t="n">
        <v>-0.16</v>
      </c>
      <c r="J8" s="4" t="n">
        <v>-0.18</v>
      </c>
      <c r="K8" s="4" t="n">
        <v>-0.18</v>
      </c>
      <c r="L8" s="4" t="n">
        <v>0.16</v>
      </c>
      <c r="M8" s="4" t="n">
        <v>0.15</v>
      </c>
      <c r="N8" s="4" t="n">
        <v>0.15</v>
      </c>
      <c r="P8" t="inlineStr">
        <is>
          <t>Q4</t>
        </is>
      </c>
      <c r="Q8" s="4" t="n">
        <v>-0.2</v>
      </c>
      <c r="R8" s="4" t="n">
        <v>0</v>
      </c>
      <c r="S8" s="4" t="n">
        <v>0</v>
      </c>
      <c r="T8" s="4" t="n">
        <v>0.2</v>
      </c>
      <c r="U8" s="4" t="n">
        <v>0.33</v>
      </c>
      <c r="V8" s="4" t="n">
        <v>0.26</v>
      </c>
      <c r="AE8" t="n">
        <v>4</v>
      </c>
      <c r="AF8" t="n">
        <v>4</v>
      </c>
      <c r="AG8" t="n">
        <v>5</v>
      </c>
      <c r="AH8" t="n">
        <v>4</v>
      </c>
      <c r="AI8" t="n">
        <v>2</v>
      </c>
    </row>
    <row r="9">
      <c r="A9" t="n">
        <v>2</v>
      </c>
      <c r="B9" t="n">
        <v>2</v>
      </c>
      <c r="C9" t="n">
        <v>3</v>
      </c>
      <c r="D9" t="n">
        <v>3</v>
      </c>
      <c r="E9" t="n">
        <v>4</v>
      </c>
      <c r="H9" t="inlineStr">
        <is>
          <t>Ours 2slow</t>
        </is>
      </c>
      <c r="I9" s="4" t="n">
        <v>-0.16</v>
      </c>
      <c r="J9" s="4" t="n">
        <v>-0.18</v>
      </c>
      <c r="K9" s="4" t="n">
        <v>-0.18</v>
      </c>
      <c r="L9" s="4" t="n">
        <v>0.16</v>
      </c>
      <c r="M9" s="4" t="n">
        <v>0.15</v>
      </c>
      <c r="N9" s="4" t="n">
        <v>0.15</v>
      </c>
      <c r="P9" t="inlineStr">
        <is>
          <t>Q5</t>
        </is>
      </c>
      <c r="Q9" s="4" t="n">
        <v>-0.13</v>
      </c>
      <c r="R9" s="4" t="n">
        <v>-0.26</v>
      </c>
      <c r="S9" s="4" t="n">
        <v>-0.2</v>
      </c>
      <c r="T9" s="4" t="n">
        <v>0.13</v>
      </c>
      <c r="U9" s="4" t="n">
        <v>0.26</v>
      </c>
      <c r="V9" s="4" t="n">
        <v>0</v>
      </c>
      <c r="AE9" t="n">
        <v>2</v>
      </c>
      <c r="AF9" t="n">
        <v>2</v>
      </c>
      <c r="AG9" t="n">
        <v>4</v>
      </c>
      <c r="AH9" t="n">
        <v>3</v>
      </c>
      <c r="AI9" t="n">
        <v>4</v>
      </c>
    </row>
    <row r="10">
      <c r="A10" t="n">
        <v>3</v>
      </c>
      <c r="B10" t="n">
        <v>4</v>
      </c>
      <c r="C10" t="n">
        <v>3</v>
      </c>
      <c r="D10" t="n">
        <v>3</v>
      </c>
      <c r="E10" t="n">
        <v>4</v>
      </c>
      <c r="AE10" t="n">
        <v>2</v>
      </c>
      <c r="AF10" t="n">
        <v>2</v>
      </c>
      <c r="AG10" t="n">
        <v>3</v>
      </c>
      <c r="AH10" t="n">
        <v>3</v>
      </c>
      <c r="AI10" t="n">
        <v>5</v>
      </c>
    </row>
    <row r="11">
      <c r="A11" t="n">
        <v>5</v>
      </c>
      <c r="B11" t="n">
        <v>2</v>
      </c>
      <c r="C11" t="n">
        <v>5</v>
      </c>
      <c r="D11" t="n">
        <v>5</v>
      </c>
      <c r="E11" t="n">
        <v>2</v>
      </c>
      <c r="H11" t="inlineStr">
        <is>
          <t>Theirs</t>
        </is>
      </c>
      <c r="AE11" t="n">
        <v>4</v>
      </c>
      <c r="AF11" t="n">
        <v>2</v>
      </c>
      <c r="AG11" t="n">
        <v>4</v>
      </c>
      <c r="AH11" t="n">
        <v>4</v>
      </c>
      <c r="AI11" t="n">
        <v>2</v>
      </c>
    </row>
    <row r="12">
      <c r="A12" t="n">
        <v>5</v>
      </c>
      <c r="B12" t="n">
        <v>1</v>
      </c>
      <c r="C12" t="n">
        <v>5</v>
      </c>
      <c r="D12" t="n">
        <v>5</v>
      </c>
      <c r="E12" t="n">
        <v>1</v>
      </c>
      <c r="H12" t="inlineStr">
        <is>
          <t>Category</t>
        </is>
      </c>
      <c r="I12" t="inlineStr">
        <is>
          <t>1 (Strongly Disagree)</t>
        </is>
      </c>
      <c r="J12" t="inlineStr">
        <is>
          <t>2 (Disagree)</t>
        </is>
      </c>
      <c r="K12" t="inlineStr">
        <is>
          <t>3 (Neutral - Left)</t>
        </is>
      </c>
      <c r="L12" t="inlineStr">
        <is>
          <t>3 (Neutral)</t>
        </is>
      </c>
      <c r="M12" t="inlineStr">
        <is>
          <t>4 (Agree)</t>
        </is>
      </c>
      <c r="N12" t="inlineStr">
        <is>
          <t>5 (Strongly Agree)</t>
        </is>
      </c>
      <c r="P12" t="inlineStr">
        <is>
          <t>Category</t>
        </is>
      </c>
      <c r="Q12" t="inlineStr">
        <is>
          <t>3 (Neutral - Left)</t>
        </is>
      </c>
      <c r="R12" t="inlineStr">
        <is>
          <t>2 (Disagree)</t>
        </is>
      </c>
      <c r="S12" t="inlineStr">
        <is>
          <t>1 (Strongly Disagree)</t>
        </is>
      </c>
      <c r="T12" t="inlineStr">
        <is>
          <t>3 (Neutral)</t>
        </is>
      </c>
      <c r="U12" t="inlineStr">
        <is>
          <t>4 (Agree)</t>
        </is>
      </c>
      <c r="V12" t="inlineStr">
        <is>
          <t>5 (Strongly Agree)</t>
        </is>
      </c>
      <c r="AE12" t="n">
        <v>2</v>
      </c>
      <c r="AF12" t="n">
        <v>2</v>
      </c>
      <c r="AG12" t="n">
        <v>4</v>
      </c>
      <c r="AH12" t="n">
        <v>4</v>
      </c>
      <c r="AI12" t="n">
        <v>4</v>
      </c>
    </row>
    <row r="13">
      <c r="A13" t="n">
        <v>5</v>
      </c>
      <c r="B13" t="n">
        <v>2</v>
      </c>
      <c r="C13" t="n">
        <v>5</v>
      </c>
      <c r="D13" t="n">
        <v>4</v>
      </c>
      <c r="E13" t="n">
        <v>1</v>
      </c>
      <c r="H13" t="inlineStr">
        <is>
          <t>Quick theirs</t>
        </is>
      </c>
      <c r="I13" s="5" t="n">
        <v>0</v>
      </c>
      <c r="J13" s="5" t="n">
        <v>-0.308</v>
      </c>
      <c r="K13" s="5" t="n">
        <v>-0.077</v>
      </c>
      <c r="L13" s="5" t="n">
        <v>0.077</v>
      </c>
      <c r="M13" s="5" t="n">
        <v>0.462</v>
      </c>
      <c r="N13" s="5" t="n">
        <v>0.077</v>
      </c>
      <c r="P13" t="inlineStr">
        <is>
          <t>Q1</t>
        </is>
      </c>
      <c r="Q13" s="5" t="n">
        <v>-0.077</v>
      </c>
      <c r="R13" s="5" t="n">
        <v>-0.308</v>
      </c>
      <c r="S13" s="5" t="n">
        <v>0</v>
      </c>
      <c r="T13" s="5" t="n">
        <v>0.077</v>
      </c>
      <c r="U13" s="5" t="n">
        <v>0.462</v>
      </c>
      <c r="V13" s="5" t="n">
        <v>0.077</v>
      </c>
      <c r="AE13" t="n">
        <v>4</v>
      </c>
      <c r="AF13" t="n">
        <v>4</v>
      </c>
      <c r="AG13" t="n">
        <v>5</v>
      </c>
      <c r="AH13" t="n">
        <v>5</v>
      </c>
      <c r="AI13" t="n">
        <v>2</v>
      </c>
    </row>
    <row r="14">
      <c r="A14" t="n">
        <v>3</v>
      </c>
      <c r="B14" t="n">
        <v>2</v>
      </c>
      <c r="C14" t="n">
        <v>4</v>
      </c>
      <c r="D14" t="n">
        <v>4</v>
      </c>
      <c r="E14" t="n">
        <v>3</v>
      </c>
      <c r="H14" t="inlineStr">
        <is>
          <t>2simple</t>
        </is>
      </c>
      <c r="I14" s="5" t="n">
        <v>-0.154</v>
      </c>
      <c r="J14" s="5" t="n">
        <v>-0.462</v>
      </c>
      <c r="K14" s="5" t="n">
        <v>-0.115</v>
      </c>
      <c r="L14" s="5" t="n">
        <v>0.115</v>
      </c>
      <c r="M14" s="5" t="n">
        <v>0.154</v>
      </c>
      <c r="N14" s="5" t="n">
        <v>0</v>
      </c>
      <c r="P14" t="inlineStr">
        <is>
          <t>Q2</t>
        </is>
      </c>
      <c r="Q14" s="5" t="n">
        <v>-0.115</v>
      </c>
      <c r="R14" s="5" t="n">
        <v>-0.462</v>
      </c>
      <c r="S14" s="5" t="n">
        <v>-0.154</v>
      </c>
      <c r="T14" s="5" t="n">
        <v>0.115</v>
      </c>
      <c r="U14" s="5" t="n">
        <v>0.154</v>
      </c>
      <c r="V14" s="5" t="n">
        <v>0</v>
      </c>
      <c r="AE14" t="n">
        <v>5</v>
      </c>
      <c r="AF14" t="n">
        <v>1</v>
      </c>
      <c r="AG14" t="n">
        <v>5</v>
      </c>
      <c r="AH14" t="n">
        <v>5</v>
      </c>
      <c r="AI14" t="n">
        <v>1</v>
      </c>
    </row>
    <row r="15">
      <c r="A15" t="n">
        <v>3</v>
      </c>
      <c r="B15" t="n">
        <v>2</v>
      </c>
      <c r="C15" t="n">
        <v>5</v>
      </c>
      <c r="D15" t="n">
        <v>4</v>
      </c>
      <c r="E15" t="n">
        <v>3</v>
      </c>
      <c r="H15" t="inlineStr">
        <is>
          <t>clear</t>
        </is>
      </c>
      <c r="I15" s="5" t="n">
        <v>0</v>
      </c>
      <c r="J15" s="5" t="n">
        <v>0</v>
      </c>
      <c r="K15" s="5" t="n">
        <v>-0.038</v>
      </c>
      <c r="L15" s="5" t="n">
        <v>0.038</v>
      </c>
      <c r="M15" s="5" t="n">
        <v>0.538</v>
      </c>
      <c r="N15" s="5" t="n">
        <v>0.385</v>
      </c>
      <c r="P15" t="inlineStr">
        <is>
          <t>Q3</t>
        </is>
      </c>
      <c r="Q15" s="5" t="n">
        <v>-0.038</v>
      </c>
      <c r="R15" s="5" t="n">
        <v>0</v>
      </c>
      <c r="S15" s="5" t="n">
        <v>0</v>
      </c>
      <c r="T15" s="5" t="n">
        <v>0.038</v>
      </c>
      <c r="U15" s="5" t="n">
        <v>0.538</v>
      </c>
      <c r="V15" s="5" t="n">
        <v>0.385</v>
      </c>
      <c r="AE15" t="n">
        <v>4</v>
      </c>
      <c r="AF15" t="n">
        <v>3</v>
      </c>
      <c r="AG15" t="n">
        <v>4</v>
      </c>
      <c r="AH15" t="n">
        <v>4</v>
      </c>
      <c r="AI15" t="n">
        <v>2</v>
      </c>
    </row>
    <row r="16">
      <c r="A16" t="n">
        <v>2</v>
      </c>
      <c r="B16" t="n">
        <v>2</v>
      </c>
      <c r="C16" t="n">
        <v>4</v>
      </c>
      <c r="D16" t="n">
        <v>5</v>
      </c>
      <c r="E16" t="n">
        <v>4</v>
      </c>
      <c r="H16" t="inlineStr">
        <is>
          <t>helpful</t>
        </is>
      </c>
      <c r="I16" s="5" t="n">
        <v>0</v>
      </c>
      <c r="J16" s="5" t="n">
        <v>0</v>
      </c>
      <c r="K16" s="5" t="n">
        <v>-0.077</v>
      </c>
      <c r="L16" s="5" t="n">
        <v>0.077</v>
      </c>
      <c r="M16" s="5" t="n">
        <v>0.538</v>
      </c>
      <c r="N16" s="5" t="n">
        <v>0.308</v>
      </c>
      <c r="P16" t="inlineStr">
        <is>
          <t>Q4</t>
        </is>
      </c>
      <c r="Q16" s="5" t="n">
        <v>-0.077</v>
      </c>
      <c r="R16" s="5" t="n">
        <v>0</v>
      </c>
      <c r="S16" s="5" t="n">
        <v>0</v>
      </c>
      <c r="T16" s="5" t="n">
        <v>0.077</v>
      </c>
      <c r="U16" s="5" t="n">
        <v>0.538</v>
      </c>
      <c r="V16" s="5" t="n">
        <v>0.308</v>
      </c>
      <c r="AE16" t="n">
        <v>4</v>
      </c>
      <c r="AF16" t="n">
        <v>2</v>
      </c>
      <c r="AG16" t="n">
        <v>5</v>
      </c>
      <c r="AH16" t="n">
        <v>5</v>
      </c>
      <c r="AI16" t="n">
        <v>2</v>
      </c>
    </row>
    <row r="17">
      <c r="A17" t="n">
        <v>2</v>
      </c>
      <c r="B17" t="n">
        <v>2</v>
      </c>
      <c r="C17" t="n">
        <v>3</v>
      </c>
      <c r="D17" t="n">
        <v>3</v>
      </c>
      <c r="E17" t="n">
        <v>4</v>
      </c>
      <c r="H17" t="inlineStr">
        <is>
          <t>2slow</t>
        </is>
      </c>
      <c r="I17" s="5" t="n">
        <v>-0.077</v>
      </c>
      <c r="J17" s="5" t="n">
        <v>-0.462</v>
      </c>
      <c r="K17" s="5" t="n">
        <v>0</v>
      </c>
      <c r="L17" s="5" t="n">
        <v>0</v>
      </c>
      <c r="M17" s="5" t="n">
        <v>0.308</v>
      </c>
      <c r="N17" s="5" t="n">
        <v>0.154</v>
      </c>
      <c r="P17" t="inlineStr">
        <is>
          <t>Q5</t>
        </is>
      </c>
      <c r="Q17" s="5" t="n">
        <v>0</v>
      </c>
      <c r="R17" s="5" t="n">
        <v>-0.462</v>
      </c>
      <c r="S17" s="5" t="n">
        <v>-0.077</v>
      </c>
      <c r="T17" s="5" t="n">
        <v>0</v>
      </c>
      <c r="U17" s="5" t="n">
        <v>0.308</v>
      </c>
      <c r="V17" s="5" t="n">
        <v>0.154</v>
      </c>
      <c r="AE17" t="n">
        <v>4</v>
      </c>
      <c r="AF17" t="n">
        <v>2</v>
      </c>
      <c r="AG17" t="n">
        <v>4</v>
      </c>
      <c r="AH17" t="n">
        <v>4</v>
      </c>
      <c r="AI17" t="n">
        <v>2</v>
      </c>
    </row>
    <row r="18">
      <c r="A18" t="n">
        <v>5</v>
      </c>
      <c r="B18" t="n">
        <v>3</v>
      </c>
      <c r="C18" t="n">
        <v>5</v>
      </c>
      <c r="D18" t="n">
        <v>4</v>
      </c>
      <c r="E18" t="n">
        <v>2</v>
      </c>
      <c r="AE18" t="n">
        <v>2</v>
      </c>
      <c r="AF18" t="n">
        <v>3</v>
      </c>
      <c r="AG18" t="n">
        <v>4</v>
      </c>
      <c r="AH18" t="n">
        <v>4</v>
      </c>
      <c r="AI18" t="n">
        <v>4</v>
      </c>
    </row>
    <row r="19">
      <c r="A19" t="n">
        <v>5</v>
      </c>
      <c r="B19" t="n">
        <v>1</v>
      </c>
      <c r="C19" t="n">
        <v>5</v>
      </c>
      <c r="D19" t="n">
        <v>5</v>
      </c>
      <c r="E19" t="n">
        <v>1</v>
      </c>
      <c r="H19" t="inlineStr">
        <is>
          <t>Theirs</t>
        </is>
      </c>
      <c r="AE19" t="n">
        <v>3</v>
      </c>
      <c r="AF19" t="n">
        <v>3</v>
      </c>
      <c r="AG19" t="n">
        <v>4</v>
      </c>
      <c r="AH19" t="n">
        <v>4</v>
      </c>
      <c r="AI19" t="n">
        <v>5</v>
      </c>
    </row>
    <row r="20"/>
    <row r="21"/>
    <row r="22"/>
    <row r="23"/>
    <row r="24">
      <c r="A24" s="1" t="inlineStr">
        <is>
          <t>[Q1] The system felt responsive or answered quickly.</t>
        </is>
      </c>
      <c r="B24" s="1" t="inlineStr">
        <is>
          <t>[Q2] The information provided by the system felt too simple and left out too many details.</t>
        </is>
      </c>
      <c r="C24" s="1" t="inlineStr">
        <is>
          <t>[Q3] The system’s explanations were clear and easy to understand.</t>
        </is>
      </c>
      <c r="D24" s="1" t="inlineStr">
        <is>
          <t>[Q4] The system’s guidance helped me imagine and understand the surrounding environment.</t>
        </is>
      </c>
      <c r="E24" s="1" t="inlineStr">
        <is>
          <t>[Q5] The system was unresponsive or took too long to answer.</t>
        </is>
      </c>
    </row>
    <row r="25"/>
    <row r="26">
      <c r="A26" t="inlineStr">
        <is>
          <t>Our system</t>
        </is>
      </c>
    </row>
    <row r="27"/>
    <row r="28">
      <c r="A28" t="inlineStr">
        <is>
          <t>Quick</t>
        </is>
      </c>
      <c r="B28" t="inlineStr">
        <is>
          <t>2simple</t>
        </is>
      </c>
      <c r="C28" t="inlineStr">
        <is>
          <t>clear</t>
        </is>
      </c>
      <c r="D28" t="inlineStr">
        <is>
          <t>helpful</t>
        </is>
      </c>
      <c r="E28" t="inlineStr">
        <is>
          <t>2slow</t>
        </is>
      </c>
    </row>
    <row r="29">
      <c r="A29" t="n">
        <v>4</v>
      </c>
      <c r="B29" t="n">
        <v>3</v>
      </c>
      <c r="C29" t="n">
        <v>4</v>
      </c>
      <c r="D29" t="n">
        <v>3</v>
      </c>
      <c r="E29" t="n">
        <v>2</v>
      </c>
    </row>
    <row r="30">
      <c r="A30" t="n">
        <v>2</v>
      </c>
      <c r="B30" t="n">
        <v>2</v>
      </c>
      <c r="C30" t="n">
        <v>4</v>
      </c>
      <c r="D30" t="n">
        <v>5</v>
      </c>
      <c r="E30" t="n">
        <v>5</v>
      </c>
    </row>
    <row r="31">
      <c r="A31" t="n">
        <v>4</v>
      </c>
      <c r="B31" t="n">
        <v>1</v>
      </c>
      <c r="C31" t="n">
        <v>4</v>
      </c>
      <c r="D31" t="n">
        <v>5</v>
      </c>
      <c r="E31" t="n">
        <v>1</v>
      </c>
    </row>
    <row r="32">
      <c r="A32" t="n">
        <v>2</v>
      </c>
      <c r="B32" t="n">
        <v>2</v>
      </c>
      <c r="C32" t="n">
        <v>3</v>
      </c>
      <c r="D32" t="n">
        <v>4</v>
      </c>
      <c r="E32" t="n">
        <v>4</v>
      </c>
    </row>
    <row r="33">
      <c r="A33" t="n">
        <v>2</v>
      </c>
      <c r="B33" t="n">
        <v>2</v>
      </c>
      <c r="C33" t="n">
        <v>3</v>
      </c>
      <c r="D33" t="n">
        <v>3</v>
      </c>
      <c r="E33" t="n">
        <v>4</v>
      </c>
    </row>
    <row r="34">
      <c r="A34" t="n">
        <v>3</v>
      </c>
      <c r="B34" t="n">
        <v>4</v>
      </c>
      <c r="C34" t="n">
        <v>3</v>
      </c>
      <c r="D34" t="n">
        <v>3</v>
      </c>
      <c r="E34" t="n">
        <v>4</v>
      </c>
    </row>
    <row r="35">
      <c r="A35" t="n">
        <v>5</v>
      </c>
      <c r="B35" t="n">
        <v>2</v>
      </c>
      <c r="C35" t="n">
        <v>5</v>
      </c>
      <c r="D35" t="n">
        <v>5</v>
      </c>
      <c r="E35" t="n">
        <v>2</v>
      </c>
    </row>
    <row r="36">
      <c r="A36" t="n">
        <v>5</v>
      </c>
      <c r="B36" t="n">
        <v>1</v>
      </c>
      <c r="C36" t="n">
        <v>5</v>
      </c>
      <c r="D36" t="n">
        <v>5</v>
      </c>
      <c r="E36" t="n">
        <v>1</v>
      </c>
    </row>
    <row r="37">
      <c r="A37">
        <f>AVERAGE(A29:A36)</f>
        <v/>
      </c>
      <c r="B37">
        <f>AVERAGE(B29:B36)</f>
        <v/>
      </c>
      <c r="C37">
        <f>AVERAGE(C29:C36)</f>
        <v/>
      </c>
      <c r="D37">
        <f>AVERAGE(D29:D36)</f>
        <v/>
      </c>
      <c r="E37">
        <f>AVERAGE(E29:E36)</f>
        <v/>
      </c>
    </row>
    <row r="38">
      <c r="A38" t="inlineStr">
        <is>
          <t>airport ours</t>
        </is>
      </c>
    </row>
    <row r="39">
      <c r="A39" t="inlineStr">
        <is>
          <t>Quick</t>
        </is>
      </c>
      <c r="B39" t="inlineStr">
        <is>
          <t>2simple</t>
        </is>
      </c>
      <c r="C39" t="inlineStr">
        <is>
          <t>clear</t>
        </is>
      </c>
      <c r="D39" t="inlineStr">
        <is>
          <t>helpful</t>
        </is>
      </c>
      <c r="E39" t="inlineStr">
        <is>
          <t>2slow</t>
        </is>
      </c>
    </row>
    <row r="40">
      <c r="A40" t="n">
        <v>5</v>
      </c>
      <c r="B40" t="n">
        <v>2</v>
      </c>
      <c r="C40" t="n">
        <v>5</v>
      </c>
      <c r="D40" t="n">
        <v>4</v>
      </c>
      <c r="E40" t="n">
        <v>1</v>
      </c>
    </row>
    <row r="41">
      <c r="A41" t="n">
        <v>3</v>
      </c>
      <c r="B41" t="n">
        <v>2</v>
      </c>
      <c r="C41" t="n">
        <v>4</v>
      </c>
      <c r="D41" t="n">
        <v>4</v>
      </c>
      <c r="E41" t="n">
        <v>3</v>
      </c>
    </row>
    <row r="42">
      <c r="A42" t="n">
        <v>3</v>
      </c>
      <c r="B42" t="n">
        <v>2</v>
      </c>
      <c r="C42" t="n">
        <v>5</v>
      </c>
      <c r="D42" t="n">
        <v>4</v>
      </c>
      <c r="E42" t="n">
        <v>3</v>
      </c>
    </row>
    <row r="43">
      <c r="A43" t="n">
        <v>2</v>
      </c>
      <c r="B43" t="n">
        <v>2</v>
      </c>
      <c r="C43" t="n">
        <v>4</v>
      </c>
      <c r="D43" t="n">
        <v>5</v>
      </c>
      <c r="E43" t="n">
        <v>4</v>
      </c>
    </row>
    <row r="44">
      <c r="A44" t="n">
        <v>2</v>
      </c>
      <c r="B44" t="n">
        <v>2</v>
      </c>
      <c r="C44" t="n">
        <v>3</v>
      </c>
      <c r="D44" t="n">
        <v>3</v>
      </c>
      <c r="E44" t="n">
        <v>4</v>
      </c>
    </row>
    <row r="45">
      <c r="A45" t="n">
        <v>5</v>
      </c>
      <c r="B45" t="n">
        <v>3</v>
      </c>
      <c r="C45" t="n">
        <v>5</v>
      </c>
      <c r="D45" t="n">
        <v>4</v>
      </c>
      <c r="E45" t="n">
        <v>2</v>
      </c>
    </row>
    <row r="46">
      <c r="A46" t="n">
        <v>5</v>
      </c>
      <c r="B46" t="n">
        <v>1</v>
      </c>
      <c r="C46" t="n">
        <v>5</v>
      </c>
      <c r="D46" t="n">
        <v>5</v>
      </c>
      <c r="E46" t="n">
        <v>1</v>
      </c>
    </row>
    <row r="47">
      <c r="A47">
        <f>AVERAGE(A40:A46)</f>
        <v/>
      </c>
      <c r="B47">
        <f>AVERAGE(B40:B46)</f>
        <v/>
      </c>
      <c r="C47">
        <f>AVERAGE(C40:C46)</f>
        <v/>
      </c>
      <c r="D47">
        <f>AVERAGE(D40:D46)</f>
        <v/>
      </c>
      <c r="E47">
        <f>AVERAGE(E40:E46)</f>
        <v/>
      </c>
    </row>
    <row r="48">
      <c r="A48" t="inlineStr">
        <is>
          <t>Theirs</t>
        </is>
      </c>
    </row>
    <row r="49">
      <c r="A49" t="inlineStr">
        <is>
          <t>Quick</t>
        </is>
      </c>
      <c r="B49" t="inlineStr">
        <is>
          <t>2simple</t>
        </is>
      </c>
      <c r="C49" t="inlineStr">
        <is>
          <t>clear</t>
        </is>
      </c>
      <c r="D49" t="inlineStr">
        <is>
          <t>helpful</t>
        </is>
      </c>
      <c r="E49" t="inlineStr">
        <is>
          <t>2slow</t>
        </is>
      </c>
    </row>
    <row r="50">
      <c r="A50" t="n">
        <v>3</v>
      </c>
      <c r="B50" t="n">
        <v>1</v>
      </c>
      <c r="C50" t="n">
        <v>5</v>
      </c>
      <c r="D50" t="n">
        <v>5</v>
      </c>
      <c r="E50" t="n">
        <v>4</v>
      </c>
    </row>
    <row r="51">
      <c r="A51" t="n">
        <v>4</v>
      </c>
      <c r="B51" t="n">
        <v>4</v>
      </c>
      <c r="C51" t="n">
        <v>5</v>
      </c>
      <c r="D51" t="n">
        <v>4</v>
      </c>
      <c r="E51" t="n">
        <v>2</v>
      </c>
    </row>
    <row r="52">
      <c r="A52" t="n">
        <v>2</v>
      </c>
      <c r="B52" t="n">
        <v>2</v>
      </c>
      <c r="C52" t="n">
        <v>4</v>
      </c>
      <c r="D52" t="n">
        <v>3</v>
      </c>
      <c r="E52" t="n">
        <v>4</v>
      </c>
    </row>
    <row r="53">
      <c r="A53" t="n">
        <v>2</v>
      </c>
      <c r="B53" t="n">
        <v>2</v>
      </c>
      <c r="C53" t="n">
        <v>3</v>
      </c>
      <c r="D53" t="n">
        <v>3</v>
      </c>
      <c r="E53" t="n">
        <v>5</v>
      </c>
    </row>
    <row r="54">
      <c r="A54" t="n">
        <v>4</v>
      </c>
      <c r="B54" t="n">
        <v>2</v>
      </c>
      <c r="C54" t="n">
        <v>4</v>
      </c>
      <c r="D54" t="n">
        <v>4</v>
      </c>
      <c r="E54" t="n">
        <v>2</v>
      </c>
    </row>
    <row r="55">
      <c r="A55" t="n">
        <v>2</v>
      </c>
      <c r="B55" t="n">
        <v>2</v>
      </c>
      <c r="C55" t="n">
        <v>4</v>
      </c>
      <c r="D55" t="n">
        <v>4</v>
      </c>
      <c r="E55" t="n">
        <v>4</v>
      </c>
    </row>
    <row r="56">
      <c r="A56">
        <f>AVERAGE(A50:A55)</f>
        <v/>
      </c>
      <c r="B56">
        <f>AVERAGE(B50:B55)</f>
        <v/>
      </c>
      <c r="C56">
        <f>AVERAGE(C50:C55)</f>
        <v/>
      </c>
      <c r="D56">
        <f>AVERAGE(D50:D55)</f>
        <v/>
      </c>
      <c r="E56">
        <f>AVERAGE(E50:E55)</f>
        <v/>
      </c>
    </row>
    <row r="57">
      <c r="A57" t="inlineStr">
        <is>
          <t>theirs airport</t>
        </is>
      </c>
    </row>
    <row r="58">
      <c r="A58" t="n">
        <v>4</v>
      </c>
      <c r="B58" t="n">
        <v>4</v>
      </c>
      <c r="C58" t="n">
        <v>5</v>
      </c>
      <c r="D58" t="n">
        <v>5</v>
      </c>
      <c r="E58" t="n">
        <v>2</v>
      </c>
    </row>
    <row r="59">
      <c r="A59" t="n">
        <v>5</v>
      </c>
      <c r="B59" t="n">
        <v>1</v>
      </c>
      <c r="C59" t="n">
        <v>5</v>
      </c>
      <c r="D59" t="n">
        <v>5</v>
      </c>
      <c r="E59" t="n">
        <v>1</v>
      </c>
    </row>
    <row r="60">
      <c r="A60" t="n">
        <v>4</v>
      </c>
      <c r="B60" t="n">
        <v>3</v>
      </c>
      <c r="C60" t="n">
        <v>4</v>
      </c>
      <c r="D60" t="n">
        <v>4</v>
      </c>
      <c r="E60" t="n">
        <v>2</v>
      </c>
    </row>
    <row r="61">
      <c r="A61" t="n">
        <v>4</v>
      </c>
      <c r="B61" t="n">
        <v>2</v>
      </c>
      <c r="C61" t="n">
        <v>5</v>
      </c>
      <c r="D61" t="n">
        <v>5</v>
      </c>
      <c r="E61" t="n">
        <v>2</v>
      </c>
    </row>
    <row r="62">
      <c r="A62" t="n">
        <v>4</v>
      </c>
      <c r="B62" t="n">
        <v>2</v>
      </c>
      <c r="C62" t="n">
        <v>4</v>
      </c>
      <c r="D62" t="n">
        <v>4</v>
      </c>
      <c r="E62" t="n">
        <v>2</v>
      </c>
    </row>
    <row r="63">
      <c r="A63" t="n">
        <v>2</v>
      </c>
      <c r="B63" t="n">
        <v>3</v>
      </c>
      <c r="C63" t="n">
        <v>4</v>
      </c>
      <c r="D63" t="n">
        <v>4</v>
      </c>
      <c r="E63" t="n">
        <v>4</v>
      </c>
    </row>
    <row r="64">
      <c r="A64" t="n">
        <v>3</v>
      </c>
      <c r="B64" t="n">
        <v>3</v>
      </c>
      <c r="C64" t="n">
        <v>4</v>
      </c>
      <c r="D64" t="n">
        <v>4</v>
      </c>
      <c r="E64" t="n">
        <v>5</v>
      </c>
    </row>
    <row r="65">
      <c r="A65">
        <f>AVERAGE(A58:A64)</f>
        <v/>
      </c>
      <c r="B65">
        <f>AVERAGE(B58:B64)</f>
        <v/>
      </c>
      <c r="C65">
        <f>AVERAGE(C58:C64)</f>
        <v/>
      </c>
      <c r="D65">
        <f>AVERAGE(D58:D64)</f>
        <v/>
      </c>
      <c r="E65">
        <f>AVERAGE(E58:E64)</f>
        <v/>
      </c>
    </row>
    <row r="66"/>
    <row r="67">
      <c r="A67" t="inlineStr">
        <is>
          <t>Ours Overall</t>
        </is>
      </c>
    </row>
    <row r="68">
      <c r="A68" t="inlineStr">
        <is>
          <t>Quick</t>
        </is>
      </c>
      <c r="B68" t="inlineStr">
        <is>
          <t>2simple</t>
        </is>
      </c>
      <c r="C68" t="inlineStr">
        <is>
          <t>clear</t>
        </is>
      </c>
      <c r="D68" t="inlineStr">
        <is>
          <t>helpful</t>
        </is>
      </c>
      <c r="E68" t="inlineStr">
        <is>
          <t>2slow</t>
        </is>
      </c>
    </row>
    <row r="69">
      <c r="A69" s="2">
        <f>AVERAGE(A29:A47)</f>
        <v/>
      </c>
      <c r="B69" s="2">
        <f>AVERAGE(B29:B47)</f>
        <v/>
      </c>
      <c r="C69" s="3">
        <f>AVERAGE(C29:C47)</f>
        <v/>
      </c>
      <c r="D69" s="3">
        <f>AVERAGE(D29:D47)</f>
        <v/>
      </c>
      <c r="E69" s="2">
        <f>AVERAGE(E29:E47)</f>
        <v/>
      </c>
    </row>
    <row r="70"/>
    <row r="71">
      <c r="A71" t="inlineStr">
        <is>
          <t>Theirs Overall</t>
        </is>
      </c>
    </row>
    <row r="72">
      <c r="A72" t="inlineStr">
        <is>
          <t>Quick</t>
        </is>
      </c>
      <c r="B72" t="inlineStr">
        <is>
          <t>2simple</t>
        </is>
      </c>
      <c r="C72" t="inlineStr">
        <is>
          <t>clear</t>
        </is>
      </c>
      <c r="D72" t="inlineStr">
        <is>
          <t>helpful</t>
        </is>
      </c>
      <c r="E72" t="inlineStr">
        <is>
          <t>2slow</t>
        </is>
      </c>
    </row>
    <row r="73">
      <c r="A73">
        <f>AVERAGE(A50:A65)</f>
        <v/>
      </c>
      <c r="B73">
        <f>AVERAGE(B50:B65)</f>
        <v/>
      </c>
      <c r="C73">
        <f>AVERAGE(C50:C65)</f>
        <v/>
      </c>
      <c r="D73">
        <f>AVERAGE(D50:D65)</f>
        <v/>
      </c>
      <c r="E73">
        <f>AVERAGE(E50:E65)</f>
        <v/>
      </c>
    </row>
    <row r="74"/>
    <row r="75">
      <c r="A75" t="inlineStr">
        <is>
          <t>%diff</t>
        </is>
      </c>
    </row>
    <row r="76">
      <c r="A76">
        <f>ABS(A73/A69*100 - 100)</f>
        <v/>
      </c>
      <c r="B76">
        <f>ABS(B73/B69*100 - 100)</f>
        <v/>
      </c>
      <c r="C76">
        <f>ABS(C73/C69*100 - 100)</f>
        <v/>
      </c>
      <c r="D76">
        <f>ABS(D73/D69*100 - 100)</f>
        <v/>
      </c>
      <c r="E76">
        <f>ABS(E73/E69*100 - 100)</f>
        <v/>
      </c>
    </row>
    <row r="77"/>
    <row r="78">
      <c r="A78" s="1" t="inlineStr">
        <is>
          <t>[Q1] The system felt responsive or answered quickly.</t>
        </is>
      </c>
      <c r="B78" s="1" t="inlineStr">
        <is>
          <t>[Q2] The information provided by the system felt too simple and left out too many details.</t>
        </is>
      </c>
      <c r="C78" s="1" t="inlineStr">
        <is>
          <t>[Q3] The system’s explanations were clear and easy to understand.</t>
        </is>
      </c>
      <c r="D78" s="1" t="inlineStr">
        <is>
          <t>[Q4] The system’s guidance helped me imagine and understand the surrounding environment.</t>
        </is>
      </c>
      <c r="E78" s="1" t="inlineStr">
        <is>
          <t>[Q5] The system was unresponsive or took too long to answer.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REDACTED</dc:creator>
  <dcterms:created xsi:type="dcterms:W3CDTF">2026-07-22T11:51:12Z</dcterms:created>
  <dcterms:modified xsi:type="dcterms:W3CDTF">2026-10-05T15:45:37Z</dcterms:modified>
  <cp:lastModifiedBy>REDACTED</cp:lastModifiedBy>
  <cp:lastPrinted>2026-07-22T15:18:58Z</cp:lastPrinted>
</cp:coreProperties>
</file>